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sptech-my.sharepoint.com/personal/reporting_idsp_tech/Documents/DSPs/RMLC/Accounting/Amazon Invoices/Fleet Invoices/2026-01/"/>
    </mc:Choice>
  </mc:AlternateContent>
  <xr:revisionPtr revIDLastSave="241" documentId="8_{6279B526-2A5F-4C25-AD00-FF013143D6F4}" xr6:coauthVersionLast="47" xr6:coauthVersionMax="47" xr10:uidLastSave="{297D5C31-D4D1-409A-80D2-F32E71433A15}"/>
  <bookViews>
    <workbookView xWindow="-108" yWindow="-108" windowWidth="23256" windowHeight="13896" xr2:uid="{00000000-000D-0000-FFFF-FFFF00000000}"/>
  </bookViews>
  <sheets>
    <sheet name="CR 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3" i="2" s="1"/>
  <c r="A4" i="2" l="1"/>
  <c r="B2" i="2"/>
  <c r="A5" i="2" l="1"/>
  <c r="A6" i="2" s="1"/>
  <c r="B4" i="2"/>
  <c r="A7" i="2" l="1"/>
  <c r="B6" i="2"/>
  <c r="B5" i="2"/>
  <c r="A8" i="2" l="1"/>
  <c r="B7" i="2"/>
  <c r="A9" i="2" l="1"/>
  <c r="B8" i="2"/>
  <c r="A10" i="2" l="1"/>
  <c r="B9" i="2"/>
  <c r="A11" i="2" l="1"/>
  <c r="B10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B24" i="2" l="1"/>
  <c r="A25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A32" i="2" l="1"/>
  <c r="A33" i="2" l="1"/>
  <c r="A34" i="2" l="1"/>
  <c r="A35" i="2" l="1"/>
  <c r="B34" i="2"/>
  <c r="A36" i="2" l="1"/>
  <c r="B35" i="2"/>
  <c r="B36" i="2" l="1"/>
</calcChain>
</file>

<file path=xl/sharedStrings.xml><?xml version="1.0" encoding="utf-8"?>
<sst xmlns="http://schemas.openxmlformats.org/spreadsheetml/2006/main" count="16" uniqueCount="14">
  <si>
    <t>Capacity reliability score</t>
  </si>
  <si>
    <t>Completed routes</t>
  </si>
  <si>
    <t>Amazon paid cancels</t>
  </si>
  <si>
    <t>DSP dropped routes</t>
  </si>
  <si>
    <t>Reliability target</t>
  </si>
  <si>
    <t>Route target</t>
  </si>
  <si>
    <t>Flex-up route target</t>
  </si>
  <si>
    <t>Final scheduled</t>
  </si>
  <si>
    <t>DSP available capacity</t>
  </si>
  <si>
    <t>Date</t>
  </si>
  <si>
    <t>Week#</t>
  </si>
  <si>
    <t>-</t>
  </si>
  <si>
    <t>RMLC</t>
  </si>
  <si>
    <t>DOM3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</si>
</sst>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0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Aptos Narrow"/>
      <family val="2"/>
      <scheme val="minor"/>
    </font>
    <font>
      <b/>
      <sz val="16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12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4" formatCode="0.00%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mm/d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41B19-F286-4375-A026-22C719C043C9}" name="Table1" displayName="Table1" ref="A1:K36" totalsRowShown="0" headerRowDxfId="11">
  <autoFilter ref="A1:K36" xr:uid="{D9241B19-F286-4375-A026-22C719C043C9}"/>
  <tableColumns count="11">
    <tableColumn id="1" xr3:uid="{528507D7-9AF9-4CFE-9213-974B7769CB74}" name="Date" dataDxfId="10"/>
    <tableColumn id="11" xr3:uid="{8BCF1D65-00FF-4B91-859B-F6D1B8AF67E1}" name="Week#" dataDxfId="9">
      <calculatedColumnFormula>WEEKNUM(Table1[[#This Row],[Date]],1)</calculatedColumnFormula>
    </tableColumn>
    <tableColumn id="2" xr3:uid="{C766D8F7-CC12-4E6A-994D-33848E23CA0A}" name="Capacity reliability score" dataDxfId="8" dataCellStyle="Percent"/>
    <tableColumn id="3" xr3:uid="{5555A651-542F-4258-A007-05A4562AE9FE}" name="Completed routes" dataDxfId="7"/>
    <tableColumn id="4" xr3:uid="{291E97EB-9414-4BB9-AB51-371834EFC762}" name="Amazon paid cancels" dataDxfId="6"/>
    <tableColumn id="5" xr3:uid="{6CD048DD-0447-43CD-B702-732E050D97A8}" name="DSP dropped routes" dataDxfId="5"/>
    <tableColumn id="6" xr3:uid="{90DF9456-A5D8-4DEF-BF03-3AD7C67E17D3}" name="Reliability target" dataDxfId="4"/>
    <tableColumn id="7" xr3:uid="{6DCDCE3A-F1B7-42B3-B278-8657CE45293A}" name="Route target" dataDxfId="3"/>
    <tableColumn id="8" xr3:uid="{8FC9E058-D771-4C50-8FD7-A229B6CEE2E4}" name="Flex-up route target" dataDxfId="2"/>
    <tableColumn id="9" xr3:uid="{85A45B24-4746-45FF-920C-DAE9CB3947D6}" name="Final scheduled" dataDxfId="1"/>
    <tableColumn id="10" xr3:uid="{D7400E7A-0EBB-4D7E-ADB4-704B5A031C2F}" name="DSP available capacit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E006-B9D6-4C64-ADFD-676F28ED23A2}">
  <dimension ref="A1:N36"/>
  <sheetViews>
    <sheetView tabSelected="1" zoomScaleNormal="100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2" width="12.5546875" customWidth="1"/>
    <col min="3" max="11" width="13.77734375" customWidth="1"/>
    <col min="13" max="14" width="13.21875" customWidth="1"/>
  </cols>
  <sheetData>
    <row r="1" spans="1:14" ht="28.8" x14ac:dyDescent="0.3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M1" s="6" t="s">
        <v>12</v>
      </c>
      <c r="N1" s="2" t="s">
        <v>13</v>
      </c>
    </row>
    <row r="2" spans="1:14" x14ac:dyDescent="0.3">
      <c r="A2" s="3">
        <v>45991</v>
      </c>
      <c r="B2" s="4">
        <f>WEEKNUM(Table1[[#This Row],[Date]],1)</f>
        <v>49</v>
      </c>
      <c r="C2" s="5">
        <v>1.1599999999999999</v>
      </c>
      <c r="D2" s="7">
        <v>58</v>
      </c>
      <c r="E2" s="7">
        <v>0</v>
      </c>
      <c r="F2" s="7">
        <v>0</v>
      </c>
      <c r="G2" s="7">
        <v>50</v>
      </c>
      <c r="H2" s="7">
        <v>48</v>
      </c>
      <c r="I2" s="7">
        <v>50</v>
      </c>
      <c r="J2" s="7">
        <v>58</v>
      </c>
      <c r="K2" s="7">
        <v>58</v>
      </c>
    </row>
    <row r="3" spans="1:14" x14ac:dyDescent="0.3">
      <c r="A3" s="3">
        <f t="shared" ref="A3:A36" si="0">A2+1</f>
        <v>45992</v>
      </c>
      <c r="B3" s="4">
        <f>WEEKNUM(Table1[[#This Row],[Date]],1)</f>
        <v>49</v>
      </c>
      <c r="C3" s="5">
        <v>1.107</v>
      </c>
      <c r="D3" s="7">
        <v>62</v>
      </c>
      <c r="E3" s="7">
        <v>0</v>
      </c>
      <c r="F3" s="7">
        <v>0</v>
      </c>
      <c r="G3" s="7">
        <v>56</v>
      </c>
      <c r="H3" s="7">
        <v>54</v>
      </c>
      <c r="I3" s="7">
        <v>56</v>
      </c>
      <c r="J3" s="7">
        <v>62</v>
      </c>
      <c r="K3" s="7">
        <v>62</v>
      </c>
    </row>
    <row r="4" spans="1:14" x14ac:dyDescent="0.3">
      <c r="A4" s="3">
        <f t="shared" si="0"/>
        <v>45993</v>
      </c>
      <c r="B4" s="4">
        <f>WEEKNUM(Table1[[#This Row],[Date]],1)</f>
        <v>49</v>
      </c>
      <c r="C4" s="5">
        <v>1.0529999999999999</v>
      </c>
      <c r="D4" s="7">
        <v>60</v>
      </c>
      <c r="E4" s="7">
        <v>0</v>
      </c>
      <c r="F4" s="7">
        <v>0</v>
      </c>
      <c r="G4" s="7">
        <v>57</v>
      </c>
      <c r="H4" s="7">
        <v>55</v>
      </c>
      <c r="I4" s="7">
        <v>57</v>
      </c>
      <c r="J4" s="7">
        <v>60</v>
      </c>
      <c r="K4" s="7">
        <v>60</v>
      </c>
    </row>
    <row r="5" spans="1:14" x14ac:dyDescent="0.3">
      <c r="A5" s="3">
        <f t="shared" si="0"/>
        <v>45994</v>
      </c>
      <c r="B5" s="4">
        <f>WEEKNUM(Table1[[#This Row],[Date]],1)</f>
        <v>49</v>
      </c>
      <c r="C5" s="5">
        <v>1.034</v>
      </c>
      <c r="D5" s="7">
        <v>60</v>
      </c>
      <c r="E5" s="7">
        <v>0</v>
      </c>
      <c r="F5" s="7">
        <v>0</v>
      </c>
      <c r="G5" s="7">
        <v>58</v>
      </c>
      <c r="H5" s="7">
        <v>57</v>
      </c>
      <c r="I5" s="7">
        <v>58</v>
      </c>
      <c r="J5" s="7">
        <v>60</v>
      </c>
      <c r="K5" s="7">
        <v>60</v>
      </c>
    </row>
    <row r="6" spans="1:14" x14ac:dyDescent="0.3">
      <c r="A6" s="3">
        <f t="shared" si="0"/>
        <v>45995</v>
      </c>
      <c r="B6" s="4">
        <f>WEEKNUM(Table1[[#This Row],[Date]],1)</f>
        <v>49</v>
      </c>
      <c r="C6" s="5">
        <v>1.121</v>
      </c>
      <c r="D6" s="7">
        <v>65</v>
      </c>
      <c r="E6" s="7">
        <v>0</v>
      </c>
      <c r="F6" s="7">
        <v>0</v>
      </c>
      <c r="G6" s="7">
        <v>58</v>
      </c>
      <c r="H6" s="7">
        <v>56</v>
      </c>
      <c r="I6" s="7">
        <v>58</v>
      </c>
      <c r="J6" s="7">
        <v>65</v>
      </c>
      <c r="K6" s="7">
        <v>66</v>
      </c>
    </row>
    <row r="7" spans="1:14" x14ac:dyDescent="0.3">
      <c r="A7" s="3">
        <f t="shared" si="0"/>
        <v>45996</v>
      </c>
      <c r="B7" s="4">
        <f>WEEKNUM(Table1[[#This Row],[Date]],1)</f>
        <v>49</v>
      </c>
      <c r="C7" s="5">
        <v>1.2</v>
      </c>
      <c r="D7" s="7">
        <v>66</v>
      </c>
      <c r="E7" s="7">
        <v>0</v>
      </c>
      <c r="F7" s="7">
        <v>0</v>
      </c>
      <c r="G7" s="7">
        <v>55</v>
      </c>
      <c r="H7" s="7">
        <v>54</v>
      </c>
      <c r="I7" s="7">
        <v>56</v>
      </c>
      <c r="J7" s="7">
        <v>55</v>
      </c>
      <c r="K7" s="7">
        <v>66</v>
      </c>
    </row>
    <row r="8" spans="1:14" x14ac:dyDescent="0.3">
      <c r="A8" s="3">
        <f t="shared" si="0"/>
        <v>45997</v>
      </c>
      <c r="B8" s="4">
        <f>WEEKNUM(Table1[[#This Row],[Date]],1)</f>
        <v>49</v>
      </c>
      <c r="C8" s="5">
        <v>1.0529999999999999</v>
      </c>
      <c r="D8" s="7">
        <v>60</v>
      </c>
      <c r="E8" s="7">
        <v>0</v>
      </c>
      <c r="F8" s="7">
        <v>0</v>
      </c>
      <c r="G8" s="7">
        <v>57</v>
      </c>
      <c r="H8" s="7">
        <v>55</v>
      </c>
      <c r="I8" s="7">
        <v>57</v>
      </c>
      <c r="J8" s="7">
        <v>60</v>
      </c>
      <c r="K8" s="7">
        <v>60</v>
      </c>
    </row>
    <row r="9" spans="1:14" x14ac:dyDescent="0.3">
      <c r="A9" s="3">
        <f t="shared" si="0"/>
        <v>45998</v>
      </c>
      <c r="B9" s="4">
        <f>WEEKNUM(Table1[[#This Row],[Date]],1)</f>
        <v>50</v>
      </c>
      <c r="C9" s="5">
        <v>1.054</v>
      </c>
      <c r="D9" s="7">
        <v>59</v>
      </c>
      <c r="E9" s="7">
        <v>0</v>
      </c>
      <c r="F9" s="7">
        <v>0</v>
      </c>
      <c r="G9" s="7">
        <v>56</v>
      </c>
      <c r="H9" s="7">
        <v>54</v>
      </c>
      <c r="I9" s="7">
        <v>56</v>
      </c>
      <c r="J9" s="7">
        <v>59</v>
      </c>
      <c r="K9" s="7">
        <v>59</v>
      </c>
    </row>
    <row r="10" spans="1:14" x14ac:dyDescent="0.3">
      <c r="A10" s="3">
        <f t="shared" si="0"/>
        <v>45999</v>
      </c>
      <c r="B10" s="4">
        <f>WEEKNUM(Table1[[#This Row],[Date]],1)</f>
        <v>50</v>
      </c>
      <c r="C10" s="5">
        <v>1</v>
      </c>
      <c r="D10" s="7">
        <v>62</v>
      </c>
      <c r="E10" s="7">
        <v>0</v>
      </c>
      <c r="F10" s="7">
        <v>0</v>
      </c>
      <c r="G10" s="7">
        <v>62</v>
      </c>
      <c r="H10" s="7">
        <v>62</v>
      </c>
      <c r="I10" s="7">
        <v>65</v>
      </c>
      <c r="J10" s="7">
        <v>62</v>
      </c>
      <c r="K10" s="7">
        <v>66</v>
      </c>
    </row>
    <row r="11" spans="1:14" x14ac:dyDescent="0.3">
      <c r="A11" s="3">
        <f t="shared" si="0"/>
        <v>46000</v>
      </c>
      <c r="B11" s="4">
        <f>WEEKNUM(Table1[[#This Row],[Date]],1)</f>
        <v>50</v>
      </c>
      <c r="C11" s="5">
        <v>1</v>
      </c>
      <c r="D11" s="7">
        <v>66</v>
      </c>
      <c r="E11" s="7">
        <v>0</v>
      </c>
      <c r="F11" s="7">
        <v>0</v>
      </c>
      <c r="G11" s="7">
        <v>66</v>
      </c>
      <c r="H11" s="7">
        <v>64</v>
      </c>
      <c r="I11" s="7">
        <v>67</v>
      </c>
      <c r="J11" s="7">
        <v>66</v>
      </c>
      <c r="K11" s="7">
        <v>66</v>
      </c>
    </row>
    <row r="12" spans="1:14" x14ac:dyDescent="0.3">
      <c r="A12" s="3">
        <f t="shared" si="0"/>
        <v>46001</v>
      </c>
      <c r="B12" s="4">
        <f>WEEKNUM(Table1[[#This Row],[Date]],1)</f>
        <v>50</v>
      </c>
      <c r="C12" s="5">
        <v>1</v>
      </c>
      <c r="D12" s="7">
        <v>60</v>
      </c>
      <c r="E12" s="7">
        <v>0</v>
      </c>
      <c r="F12" s="7">
        <v>0</v>
      </c>
      <c r="G12" s="7">
        <v>60</v>
      </c>
      <c r="H12" s="7">
        <v>65</v>
      </c>
      <c r="I12" s="7">
        <v>68</v>
      </c>
      <c r="J12" s="7">
        <v>60</v>
      </c>
      <c r="K12" s="7">
        <v>66</v>
      </c>
    </row>
    <row r="13" spans="1:14" x14ac:dyDescent="0.3">
      <c r="A13" s="3">
        <f t="shared" si="0"/>
        <v>46002</v>
      </c>
      <c r="B13" s="4">
        <f>WEEKNUM(Table1[[#This Row],[Date]],1)</f>
        <v>50</v>
      </c>
      <c r="C13" s="5">
        <v>1</v>
      </c>
      <c r="D13" s="7">
        <v>56</v>
      </c>
      <c r="E13" s="7">
        <v>0</v>
      </c>
      <c r="F13" s="7">
        <v>0</v>
      </c>
      <c r="G13" s="7">
        <v>56</v>
      </c>
      <c r="H13" s="7">
        <v>65</v>
      </c>
      <c r="I13" s="7">
        <v>68</v>
      </c>
      <c r="J13" s="7">
        <v>56</v>
      </c>
      <c r="K13" s="7">
        <v>66</v>
      </c>
    </row>
    <row r="14" spans="1:14" x14ac:dyDescent="0.3">
      <c r="A14" s="3">
        <f t="shared" si="0"/>
        <v>46003</v>
      </c>
      <c r="B14" s="4">
        <f>WEEKNUM(Table1[[#This Row],[Date]],1)</f>
        <v>50</v>
      </c>
      <c r="C14" s="5">
        <v>1</v>
      </c>
      <c r="D14" s="7">
        <v>55</v>
      </c>
      <c r="E14" s="7">
        <v>0</v>
      </c>
      <c r="F14" s="7">
        <v>0</v>
      </c>
      <c r="G14" s="7">
        <v>55</v>
      </c>
      <c r="H14" s="7">
        <v>62</v>
      </c>
      <c r="I14" s="7">
        <v>65</v>
      </c>
      <c r="J14" s="7">
        <v>55</v>
      </c>
      <c r="K14" s="7">
        <v>66</v>
      </c>
    </row>
    <row r="15" spans="1:14" x14ac:dyDescent="0.3">
      <c r="A15" s="3">
        <f t="shared" si="0"/>
        <v>46004</v>
      </c>
      <c r="B15" s="4">
        <f>WEEKNUM(Table1[[#This Row],[Date]],1)</f>
        <v>50</v>
      </c>
      <c r="C15" s="5">
        <v>1</v>
      </c>
      <c r="D15" s="7">
        <v>56</v>
      </c>
      <c r="E15" s="7">
        <v>0</v>
      </c>
      <c r="F15" s="7">
        <v>0</v>
      </c>
      <c r="G15" s="7">
        <v>56</v>
      </c>
      <c r="H15" s="7">
        <v>64</v>
      </c>
      <c r="I15" s="7">
        <v>67</v>
      </c>
      <c r="J15" s="7">
        <v>56</v>
      </c>
      <c r="K15" s="7">
        <v>66</v>
      </c>
    </row>
    <row r="16" spans="1:14" x14ac:dyDescent="0.3">
      <c r="A16" s="3">
        <f t="shared" si="0"/>
        <v>46005</v>
      </c>
      <c r="B16" s="4">
        <f>WEEKNUM(Table1[[#This Row],[Date]],1)</f>
        <v>51</v>
      </c>
      <c r="C16" s="5">
        <v>1.123</v>
      </c>
      <c r="D16" s="7">
        <v>64</v>
      </c>
      <c r="E16" s="7">
        <v>0</v>
      </c>
      <c r="F16" s="7">
        <v>0</v>
      </c>
      <c r="G16" s="7">
        <v>57</v>
      </c>
      <c r="H16" s="7">
        <v>55</v>
      </c>
      <c r="I16" s="7">
        <v>57</v>
      </c>
      <c r="J16" s="7">
        <v>64</v>
      </c>
      <c r="K16" s="7">
        <v>66</v>
      </c>
    </row>
    <row r="17" spans="1:11" x14ac:dyDescent="0.3">
      <c r="A17" s="3">
        <f t="shared" si="0"/>
        <v>46006</v>
      </c>
      <c r="B17" s="4">
        <f>WEEKNUM(Table1[[#This Row],[Date]],1)</f>
        <v>51</v>
      </c>
      <c r="C17" s="5">
        <v>1</v>
      </c>
      <c r="D17" s="7">
        <v>60</v>
      </c>
      <c r="E17" s="7">
        <v>0</v>
      </c>
      <c r="F17" s="7">
        <v>0</v>
      </c>
      <c r="G17" s="7">
        <v>60</v>
      </c>
      <c r="H17" s="7">
        <v>62</v>
      </c>
      <c r="I17" s="7">
        <v>65</v>
      </c>
      <c r="J17" s="7">
        <v>60</v>
      </c>
      <c r="K17" s="7">
        <v>66</v>
      </c>
    </row>
    <row r="18" spans="1:11" x14ac:dyDescent="0.3">
      <c r="A18" s="3">
        <f t="shared" si="0"/>
        <v>46007</v>
      </c>
      <c r="B18" s="4">
        <f>WEEKNUM(Table1[[#This Row],[Date]],1)</f>
        <v>51</v>
      </c>
      <c r="C18" s="5">
        <v>1</v>
      </c>
      <c r="D18" s="7">
        <v>66</v>
      </c>
      <c r="E18" s="7">
        <v>0</v>
      </c>
      <c r="F18" s="7">
        <v>0</v>
      </c>
      <c r="G18" s="7">
        <v>66</v>
      </c>
      <c r="H18" s="7">
        <v>63</v>
      </c>
      <c r="I18" s="7">
        <v>66</v>
      </c>
      <c r="J18" s="7">
        <v>66</v>
      </c>
      <c r="K18" s="7">
        <v>66</v>
      </c>
    </row>
    <row r="19" spans="1:11" x14ac:dyDescent="0.3">
      <c r="A19" s="3">
        <f t="shared" si="0"/>
        <v>46008</v>
      </c>
      <c r="B19" s="4">
        <f>WEEKNUM(Table1[[#This Row],[Date]],1)</f>
        <v>51</v>
      </c>
      <c r="C19" s="5">
        <v>1</v>
      </c>
      <c r="D19" s="7">
        <v>63</v>
      </c>
      <c r="E19" s="7">
        <v>2</v>
      </c>
      <c r="F19" s="7">
        <v>0</v>
      </c>
      <c r="G19" s="7">
        <v>65</v>
      </c>
      <c r="H19" s="7">
        <v>65</v>
      </c>
      <c r="I19" s="7">
        <v>68</v>
      </c>
      <c r="J19" s="7">
        <v>65</v>
      </c>
      <c r="K19" s="7">
        <v>68</v>
      </c>
    </row>
    <row r="20" spans="1:11" x14ac:dyDescent="0.3">
      <c r="A20" s="3">
        <f t="shared" si="0"/>
        <v>46009</v>
      </c>
      <c r="B20" s="4">
        <f>WEEKNUM(Table1[[#This Row],[Date]],1)</f>
        <v>51</v>
      </c>
      <c r="C20" s="5">
        <v>1</v>
      </c>
      <c r="D20" s="7">
        <v>68</v>
      </c>
      <c r="E20" s="7">
        <v>0</v>
      </c>
      <c r="F20" s="7">
        <v>0</v>
      </c>
      <c r="G20" s="7">
        <v>68</v>
      </c>
      <c r="H20" s="7">
        <v>65</v>
      </c>
      <c r="I20" s="7">
        <v>68</v>
      </c>
      <c r="J20" s="7">
        <v>68</v>
      </c>
      <c r="K20" s="7">
        <v>68</v>
      </c>
    </row>
    <row r="21" spans="1:11" x14ac:dyDescent="0.3">
      <c r="A21" s="3">
        <f t="shared" si="0"/>
        <v>46010</v>
      </c>
      <c r="B21" s="4">
        <f>WEEKNUM(Table1[[#This Row],[Date]],1)</f>
        <v>51</v>
      </c>
      <c r="C21" s="5">
        <v>1</v>
      </c>
      <c r="D21" s="7">
        <v>62</v>
      </c>
      <c r="E21" s="7">
        <v>0</v>
      </c>
      <c r="F21" s="7">
        <v>0</v>
      </c>
      <c r="G21" s="7">
        <v>62</v>
      </c>
      <c r="H21" s="7">
        <v>62</v>
      </c>
      <c r="I21" s="7">
        <v>65</v>
      </c>
      <c r="J21" s="7">
        <v>62</v>
      </c>
      <c r="K21" s="7">
        <v>66</v>
      </c>
    </row>
    <row r="22" spans="1:11" x14ac:dyDescent="0.3">
      <c r="A22" s="3">
        <f t="shared" si="0"/>
        <v>46011</v>
      </c>
      <c r="B22" s="4">
        <f>WEEKNUM(Table1[[#This Row],[Date]],1)</f>
        <v>51</v>
      </c>
      <c r="C22" s="5">
        <v>1</v>
      </c>
      <c r="D22" s="7">
        <v>62</v>
      </c>
      <c r="E22" s="7">
        <v>0</v>
      </c>
      <c r="F22" s="7">
        <v>0</v>
      </c>
      <c r="G22" s="7">
        <v>62</v>
      </c>
      <c r="H22" s="7">
        <v>61</v>
      </c>
      <c r="I22" s="7">
        <v>64</v>
      </c>
      <c r="J22" s="7">
        <v>62</v>
      </c>
      <c r="K22" s="7">
        <v>66</v>
      </c>
    </row>
    <row r="23" spans="1:11" x14ac:dyDescent="0.3">
      <c r="A23" s="3">
        <f t="shared" si="0"/>
        <v>46012</v>
      </c>
      <c r="B23" s="4">
        <f>WEEKNUM(Table1[[#This Row],[Date]],1)</f>
        <v>52</v>
      </c>
      <c r="C23" s="5">
        <v>1.2450000000000001</v>
      </c>
      <c r="D23" s="7">
        <v>64</v>
      </c>
      <c r="E23" s="7">
        <v>2</v>
      </c>
      <c r="F23" s="7">
        <v>0</v>
      </c>
      <c r="G23" s="7">
        <v>53</v>
      </c>
      <c r="H23" s="7">
        <v>51</v>
      </c>
      <c r="I23" s="7">
        <v>53</v>
      </c>
      <c r="J23" s="7">
        <v>66</v>
      </c>
      <c r="K23" s="7">
        <v>66</v>
      </c>
    </row>
    <row r="24" spans="1:11" x14ac:dyDescent="0.3">
      <c r="A24" s="3">
        <f t="shared" si="0"/>
        <v>46013</v>
      </c>
      <c r="B24" s="4">
        <f>WEEKNUM(Table1[[#This Row],[Date]],1)</f>
        <v>52</v>
      </c>
      <c r="C24" s="5">
        <v>1.1379999999999999</v>
      </c>
      <c r="D24" s="7">
        <v>66</v>
      </c>
      <c r="E24" s="7">
        <v>0</v>
      </c>
      <c r="F24" s="7">
        <v>0</v>
      </c>
      <c r="G24" s="7">
        <v>58</v>
      </c>
      <c r="H24" s="7">
        <v>56</v>
      </c>
      <c r="I24" s="7">
        <v>58</v>
      </c>
      <c r="J24" s="7">
        <v>66</v>
      </c>
      <c r="K24" s="7">
        <v>66</v>
      </c>
    </row>
    <row r="25" spans="1:11" x14ac:dyDescent="0.3">
      <c r="A25" s="3">
        <f t="shared" si="0"/>
        <v>46014</v>
      </c>
      <c r="B25" s="4">
        <f>WEEKNUM(Table1[[#This Row],[Date]],1)</f>
        <v>52</v>
      </c>
      <c r="C25" s="5">
        <v>1.1379999999999999</v>
      </c>
      <c r="D25" s="7">
        <v>66</v>
      </c>
      <c r="E25" s="7">
        <v>0</v>
      </c>
      <c r="F25" s="7">
        <v>0</v>
      </c>
      <c r="G25" s="7">
        <v>58</v>
      </c>
      <c r="H25" s="7">
        <v>57</v>
      </c>
      <c r="I25" s="7">
        <v>58</v>
      </c>
      <c r="J25" s="7">
        <v>66</v>
      </c>
      <c r="K25" s="7">
        <v>66</v>
      </c>
    </row>
    <row r="26" spans="1:11" x14ac:dyDescent="0.3">
      <c r="A26" s="3">
        <f t="shared" si="0"/>
        <v>46015</v>
      </c>
      <c r="B26" s="4">
        <f>WEEKNUM(Table1[[#This Row],[Date]],1)</f>
        <v>52</v>
      </c>
      <c r="C26" s="5">
        <v>1</v>
      </c>
      <c r="D26" s="7">
        <v>53</v>
      </c>
      <c r="E26" s="7">
        <v>1</v>
      </c>
      <c r="F26" s="7">
        <v>0</v>
      </c>
      <c r="G26" s="7">
        <v>54</v>
      </c>
      <c r="H26" s="7">
        <v>57</v>
      </c>
      <c r="I26" s="7">
        <v>59</v>
      </c>
      <c r="J26" s="7">
        <v>54</v>
      </c>
      <c r="K26" s="7">
        <v>64</v>
      </c>
    </row>
    <row r="27" spans="1:11" x14ac:dyDescent="0.3">
      <c r="A27" s="3">
        <f t="shared" si="0"/>
        <v>46016</v>
      </c>
      <c r="B27" s="4">
        <f>WEEKNUM(Table1[[#This Row],[Date]],1)</f>
        <v>52</v>
      </c>
      <c r="C27" s="5" t="s">
        <v>11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</row>
    <row r="28" spans="1:11" x14ac:dyDescent="0.3">
      <c r="A28" s="3">
        <f t="shared" si="0"/>
        <v>46017</v>
      </c>
      <c r="B28" s="4">
        <f>WEEKNUM(Table1[[#This Row],[Date]],1)</f>
        <v>52</v>
      </c>
      <c r="C28" s="5" t="s">
        <v>11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</row>
    <row r="29" spans="1:11" x14ac:dyDescent="0.3">
      <c r="A29" s="3">
        <f t="shared" si="0"/>
        <v>46018</v>
      </c>
      <c r="B29" s="4">
        <f>WEEKNUM(Table1[[#This Row],[Date]],1)</f>
        <v>52</v>
      </c>
      <c r="C29" s="5">
        <v>1</v>
      </c>
      <c r="D29" s="7">
        <v>46</v>
      </c>
      <c r="E29" s="7">
        <v>0</v>
      </c>
      <c r="F29" s="7">
        <v>0</v>
      </c>
      <c r="G29" s="7">
        <v>46</v>
      </c>
      <c r="H29" s="7">
        <v>47</v>
      </c>
      <c r="I29" s="7">
        <v>49</v>
      </c>
      <c r="J29" s="7">
        <v>46</v>
      </c>
      <c r="K29" s="7">
        <v>60</v>
      </c>
    </row>
    <row r="30" spans="1:11" x14ac:dyDescent="0.3">
      <c r="A30" s="3">
        <f t="shared" si="0"/>
        <v>46019</v>
      </c>
      <c r="B30" s="4">
        <v>1</v>
      </c>
      <c r="C30" s="5">
        <v>1</v>
      </c>
      <c r="D30" s="7">
        <v>46</v>
      </c>
      <c r="E30" s="7">
        <v>0</v>
      </c>
      <c r="F30" s="7">
        <v>0</v>
      </c>
      <c r="G30" s="7">
        <v>46</v>
      </c>
      <c r="H30" s="7">
        <v>49</v>
      </c>
      <c r="I30" s="7">
        <v>49</v>
      </c>
      <c r="J30" s="7">
        <v>46</v>
      </c>
      <c r="K30" s="7">
        <v>55</v>
      </c>
    </row>
    <row r="31" spans="1:11" x14ac:dyDescent="0.3">
      <c r="A31" s="3">
        <f t="shared" si="0"/>
        <v>46020</v>
      </c>
      <c r="B31" s="4">
        <v>1</v>
      </c>
      <c r="C31" s="5">
        <v>1.0549999999999999</v>
      </c>
      <c r="D31" s="7">
        <v>58</v>
      </c>
      <c r="E31" s="7">
        <v>0</v>
      </c>
      <c r="F31" s="7">
        <v>0</v>
      </c>
      <c r="G31" s="7">
        <v>55</v>
      </c>
      <c r="H31" s="7">
        <v>55</v>
      </c>
      <c r="I31" s="7">
        <v>55</v>
      </c>
      <c r="J31" s="7">
        <v>58</v>
      </c>
      <c r="K31" s="7">
        <v>58</v>
      </c>
    </row>
    <row r="32" spans="1:11" x14ac:dyDescent="0.3">
      <c r="A32" s="3">
        <f t="shared" si="0"/>
        <v>46021</v>
      </c>
      <c r="B32" s="4">
        <v>1</v>
      </c>
      <c r="C32" s="5">
        <v>1.018</v>
      </c>
      <c r="D32" s="7">
        <v>56</v>
      </c>
      <c r="E32" s="7">
        <v>0</v>
      </c>
      <c r="F32" s="7">
        <v>0</v>
      </c>
      <c r="G32" s="7">
        <v>55</v>
      </c>
      <c r="H32" s="7">
        <v>55</v>
      </c>
      <c r="I32" s="7">
        <v>55</v>
      </c>
      <c r="J32" s="7">
        <v>56</v>
      </c>
      <c r="K32" s="7">
        <v>60</v>
      </c>
    </row>
    <row r="33" spans="1:11" x14ac:dyDescent="0.3">
      <c r="A33" s="3">
        <f t="shared" si="0"/>
        <v>46022</v>
      </c>
      <c r="B33" s="4">
        <v>1</v>
      </c>
      <c r="C33" s="5">
        <v>1</v>
      </c>
      <c r="D33" s="7">
        <v>49</v>
      </c>
      <c r="E33" s="7">
        <v>0</v>
      </c>
      <c r="F33" s="7">
        <v>0</v>
      </c>
      <c r="G33" s="7">
        <v>49</v>
      </c>
      <c r="H33" s="7">
        <v>50</v>
      </c>
      <c r="I33" s="7">
        <v>50</v>
      </c>
      <c r="J33" s="7">
        <v>49</v>
      </c>
      <c r="K33" s="7">
        <v>58</v>
      </c>
    </row>
    <row r="34" spans="1:11" x14ac:dyDescent="0.3">
      <c r="A34" s="3">
        <f t="shared" si="0"/>
        <v>46023</v>
      </c>
      <c r="B34" s="4">
        <f>WEEKNUM(Table1[[#This Row],[Date]],1)</f>
        <v>1</v>
      </c>
      <c r="C34" s="5" t="s">
        <v>11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</row>
    <row r="35" spans="1:11" x14ac:dyDescent="0.3">
      <c r="A35" s="3">
        <f t="shared" si="0"/>
        <v>46024</v>
      </c>
      <c r="B35" s="4">
        <f>WEEKNUM(Table1[[#This Row],[Date]],1)</f>
        <v>1</v>
      </c>
      <c r="C35" s="5">
        <v>1</v>
      </c>
      <c r="D35" s="7">
        <v>44</v>
      </c>
      <c r="E35" s="7">
        <v>0</v>
      </c>
      <c r="F35" s="7">
        <v>0</v>
      </c>
      <c r="G35" s="7">
        <v>44</v>
      </c>
      <c r="H35" s="7">
        <v>43</v>
      </c>
      <c r="I35" s="7">
        <v>45</v>
      </c>
      <c r="J35" s="7">
        <v>44</v>
      </c>
      <c r="K35" s="7">
        <v>58</v>
      </c>
    </row>
    <row r="36" spans="1:11" x14ac:dyDescent="0.3">
      <c r="A36" s="3">
        <f t="shared" si="0"/>
        <v>46025</v>
      </c>
      <c r="B36" s="4">
        <f>WEEKNUM(Table1[[#This Row],[Date]],1)</f>
        <v>1</v>
      </c>
      <c r="C36" s="5">
        <v>1.18</v>
      </c>
      <c r="D36" s="7">
        <v>59</v>
      </c>
      <c r="E36" s="7">
        <v>0</v>
      </c>
      <c r="F36" s="7">
        <v>0</v>
      </c>
      <c r="G36" s="7">
        <v>50</v>
      </c>
      <c r="H36" s="7">
        <v>50</v>
      </c>
      <c r="I36" s="7">
        <v>50</v>
      </c>
      <c r="J36" s="7">
        <v>58</v>
      </c>
      <c r="K36" s="7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Claims</cp:lastModifiedBy>
  <dcterms:created xsi:type="dcterms:W3CDTF">2025-02-05T14:39:38Z</dcterms:created>
  <dcterms:modified xsi:type="dcterms:W3CDTF">2026-01-07T14:29:06Z</dcterms:modified>
</cp:coreProperties>
</file>